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esearch\第四章 图\"/>
    </mc:Choice>
  </mc:AlternateContent>
  <bookViews>
    <workbookView xWindow="0" yWindow="0" windowWidth="28800" windowHeight="12210" activeTab="2"/>
  </bookViews>
  <sheets>
    <sheet name="2030马尔科夫土地需求预测" sheetId="1" r:id="rId1"/>
    <sheet name="城镇扩张" sheetId="4" r:id="rId2"/>
    <sheet name="生态保护" sheetId="5" r:id="rId3"/>
  </sheets>
  <calcPr calcId="162913"/>
</workbook>
</file>

<file path=xl/calcChain.xml><?xml version="1.0" encoding="utf-8"?>
<calcChain xmlns="http://schemas.openxmlformats.org/spreadsheetml/2006/main">
  <c r="E24" i="4" l="1"/>
  <c r="C24" i="4"/>
  <c r="D24" i="4"/>
  <c r="F24" i="4"/>
  <c r="G24" i="4"/>
  <c r="H24" i="4"/>
  <c r="I24" i="4"/>
  <c r="J23" i="5"/>
  <c r="J22" i="5"/>
  <c r="J19" i="5"/>
  <c r="J18" i="5"/>
  <c r="J17" i="5"/>
  <c r="J16" i="5"/>
  <c r="J15" i="5"/>
  <c r="J14" i="5"/>
  <c r="J13" i="5"/>
  <c r="I10" i="5"/>
  <c r="H10" i="5"/>
  <c r="G10" i="5"/>
  <c r="F10" i="5"/>
  <c r="E10" i="5"/>
  <c r="D10" i="5"/>
  <c r="C10" i="5"/>
  <c r="I9" i="5"/>
  <c r="H9" i="5"/>
  <c r="G9" i="5"/>
  <c r="F9" i="5"/>
  <c r="E9" i="5"/>
  <c r="D9" i="5"/>
  <c r="C9" i="5"/>
  <c r="I8" i="5"/>
  <c r="H8" i="5"/>
  <c r="G8" i="5"/>
  <c r="F8" i="5"/>
  <c r="E8" i="5"/>
  <c r="D8" i="5"/>
  <c r="C8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I5" i="5"/>
  <c r="H5" i="5"/>
  <c r="G5" i="5"/>
  <c r="F5" i="5"/>
  <c r="E5" i="5"/>
  <c r="D5" i="5"/>
  <c r="C5" i="5"/>
  <c r="I4" i="5"/>
  <c r="H4" i="5"/>
  <c r="G4" i="5"/>
  <c r="F4" i="5"/>
  <c r="E4" i="5"/>
  <c r="D4" i="5"/>
  <c r="C4" i="5"/>
  <c r="J23" i="4"/>
  <c r="D11" i="4"/>
  <c r="E11" i="4"/>
  <c r="F11" i="4"/>
  <c r="G11" i="4"/>
  <c r="H11" i="4"/>
  <c r="I11" i="4"/>
  <c r="C11" i="4"/>
  <c r="D10" i="4"/>
  <c r="E10" i="4"/>
  <c r="F10" i="4"/>
  <c r="G10" i="4"/>
  <c r="H10" i="4"/>
  <c r="I10" i="4"/>
  <c r="C10" i="4"/>
  <c r="D9" i="4"/>
  <c r="E9" i="4"/>
  <c r="F9" i="4"/>
  <c r="G9" i="4"/>
  <c r="H9" i="4"/>
  <c r="I9" i="4"/>
  <c r="C9" i="4"/>
  <c r="D8" i="4"/>
  <c r="E8" i="4"/>
  <c r="F8" i="4"/>
  <c r="G8" i="4"/>
  <c r="H8" i="4"/>
  <c r="I8" i="4"/>
  <c r="C8" i="4"/>
  <c r="J22" i="4"/>
  <c r="D7" i="4"/>
  <c r="E7" i="4"/>
  <c r="F7" i="4"/>
  <c r="G7" i="4"/>
  <c r="H7" i="4"/>
  <c r="I7" i="4"/>
  <c r="C7" i="4"/>
  <c r="D6" i="4"/>
  <c r="E6" i="4"/>
  <c r="F6" i="4"/>
  <c r="G6" i="4"/>
  <c r="H6" i="4"/>
  <c r="I6" i="4"/>
  <c r="C6" i="4"/>
  <c r="D5" i="4"/>
  <c r="E5" i="4"/>
  <c r="F5" i="4"/>
  <c r="G5" i="4"/>
  <c r="H5" i="4"/>
  <c r="I5" i="4"/>
  <c r="C5" i="4"/>
  <c r="D4" i="4"/>
  <c r="E4" i="4"/>
  <c r="F4" i="4"/>
  <c r="G4" i="4"/>
  <c r="H4" i="4"/>
  <c r="I4" i="4"/>
  <c r="C4" i="4"/>
  <c r="J14" i="4"/>
  <c r="J15" i="4"/>
  <c r="J16" i="4"/>
  <c r="J17" i="4"/>
  <c r="J18" i="4"/>
  <c r="J19" i="4"/>
  <c r="J13" i="4"/>
  <c r="K38" i="1"/>
  <c r="J22" i="1"/>
  <c r="C11" i="5" l="1"/>
  <c r="E11" i="5"/>
  <c r="D11" i="5"/>
  <c r="F11" i="5"/>
  <c r="H11" i="5"/>
  <c r="I11" i="5"/>
  <c r="G11" i="5"/>
</calcChain>
</file>

<file path=xl/sharedStrings.xml><?xml version="1.0" encoding="utf-8"?>
<sst xmlns="http://schemas.openxmlformats.org/spreadsheetml/2006/main" count="173" uniqueCount="21">
  <si>
    <t>[Conversion Matrix]</t>
  </si>
  <si>
    <t>像元个数</t>
  </si>
  <si>
    <t>Land use types</t>
  </si>
  <si>
    <t>type1</t>
  </si>
  <si>
    <t>type2</t>
  </si>
  <si>
    <t>type3</t>
  </si>
  <si>
    <t>type4</t>
  </si>
  <si>
    <t>type5</t>
  </si>
  <si>
    <t>type6</t>
  </si>
  <si>
    <t>type7</t>
  </si>
  <si>
    <t>total</t>
  </si>
  <si>
    <t>自然发展情景</t>
  </si>
  <si>
    <t>[Conversion Probability]</t>
  </si>
  <si>
    <t>转移概率</t>
  </si>
  <si>
    <t>[Predict amount]</t>
  </si>
  <si>
    <t>year</t>
  </si>
  <si>
    <t>城镇扩张情景</t>
  </si>
  <si>
    <t>生态保护情景</t>
  </si>
  <si>
    <t>自然发展</t>
  </si>
  <si>
    <t>城镇扩张</t>
  </si>
  <si>
    <t>生态保护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</si>
</sst>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opLeftCell="A2" workbookViewId="0">
      <selection activeCell="Q34" sqref="Q34:W40"/>
    </sheetView>
  </sheetViews>
  <sheetFormatPr defaultRowHeight="14.25" x14ac:dyDescent="0.2"/>
  <sheetData>
    <row r="1" spans="1:23" x14ac:dyDescent="0.2">
      <c r="E1">
        <v>2020</v>
      </c>
    </row>
    <row r="2" spans="1:23" x14ac:dyDescent="0.2">
      <c r="B2" t="s">
        <v>0</v>
      </c>
      <c r="C2" t="s">
        <v>1</v>
      </c>
    </row>
    <row r="3" spans="1:23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23" x14ac:dyDescent="0.2">
      <c r="B4" t="s">
        <v>3</v>
      </c>
      <c r="C4">
        <v>5566182</v>
      </c>
      <c r="D4">
        <v>429331</v>
      </c>
      <c r="E4">
        <v>103048</v>
      </c>
      <c r="F4">
        <v>3562</v>
      </c>
      <c r="G4">
        <v>202</v>
      </c>
      <c r="H4">
        <v>7836</v>
      </c>
      <c r="I4">
        <v>149369</v>
      </c>
      <c r="J4">
        <v>6259530</v>
      </c>
    </row>
    <row r="5" spans="1:23" x14ac:dyDescent="0.2">
      <c r="B5" t="s">
        <v>4</v>
      </c>
      <c r="C5">
        <v>503025</v>
      </c>
      <c r="D5">
        <v>5956864</v>
      </c>
      <c r="E5">
        <v>105561</v>
      </c>
      <c r="F5">
        <v>3573</v>
      </c>
      <c r="G5">
        <v>196</v>
      </c>
      <c r="H5">
        <v>4072</v>
      </c>
      <c r="I5">
        <v>7863</v>
      </c>
      <c r="J5">
        <v>6581154</v>
      </c>
    </row>
    <row r="6" spans="1:23" x14ac:dyDescent="0.2">
      <c r="B6" t="s">
        <v>5</v>
      </c>
      <c r="C6">
        <v>91716</v>
      </c>
      <c r="D6">
        <v>121579</v>
      </c>
      <c r="E6">
        <v>432936</v>
      </c>
      <c r="F6">
        <v>2917</v>
      </c>
      <c r="G6">
        <v>143</v>
      </c>
      <c r="H6">
        <v>3134</v>
      </c>
      <c r="I6">
        <v>1679</v>
      </c>
      <c r="J6">
        <v>654104</v>
      </c>
    </row>
    <row r="7" spans="1:23" x14ac:dyDescent="0.2">
      <c r="A7">
        <v>2010</v>
      </c>
      <c r="B7" t="s">
        <v>6</v>
      </c>
      <c r="C7">
        <v>1969</v>
      </c>
      <c r="D7">
        <v>5779</v>
      </c>
      <c r="E7">
        <v>3127</v>
      </c>
      <c r="F7">
        <v>1419</v>
      </c>
      <c r="G7">
        <v>8</v>
      </c>
      <c r="H7">
        <v>262</v>
      </c>
      <c r="I7">
        <v>32</v>
      </c>
      <c r="J7">
        <v>12596</v>
      </c>
    </row>
    <row r="8" spans="1:23" x14ac:dyDescent="0.2">
      <c r="B8" t="s">
        <v>7</v>
      </c>
      <c r="C8">
        <v>311</v>
      </c>
      <c r="D8">
        <v>21</v>
      </c>
      <c r="E8">
        <v>583</v>
      </c>
      <c r="F8">
        <v>14</v>
      </c>
      <c r="G8">
        <v>1284</v>
      </c>
      <c r="H8">
        <v>485</v>
      </c>
      <c r="I8">
        <v>0</v>
      </c>
      <c r="J8">
        <v>2698</v>
      </c>
    </row>
    <row r="9" spans="1:23" x14ac:dyDescent="0.2">
      <c r="B9" t="s">
        <v>8</v>
      </c>
      <c r="C9">
        <v>4260</v>
      </c>
      <c r="D9">
        <v>1984</v>
      </c>
      <c r="E9">
        <v>6278</v>
      </c>
      <c r="F9">
        <v>871</v>
      </c>
      <c r="G9">
        <v>353</v>
      </c>
      <c r="H9">
        <v>10780</v>
      </c>
      <c r="I9">
        <v>104</v>
      </c>
      <c r="J9">
        <v>24630</v>
      </c>
    </row>
    <row r="10" spans="1:23" x14ac:dyDescent="0.2">
      <c r="B10" t="s">
        <v>9</v>
      </c>
      <c r="C10">
        <v>7854</v>
      </c>
      <c r="D10">
        <v>234</v>
      </c>
      <c r="E10">
        <v>33</v>
      </c>
      <c r="F10">
        <v>0</v>
      </c>
      <c r="G10">
        <v>0</v>
      </c>
      <c r="H10">
        <v>9</v>
      </c>
      <c r="I10">
        <v>35954</v>
      </c>
      <c r="J10">
        <v>44084</v>
      </c>
    </row>
    <row r="11" spans="1:23" x14ac:dyDescent="0.2">
      <c r="B11" t="s">
        <v>10</v>
      </c>
      <c r="C11">
        <v>6175317</v>
      </c>
      <c r="D11">
        <v>6515792</v>
      </c>
      <c r="E11">
        <v>651566</v>
      </c>
      <c r="F11">
        <v>12356</v>
      </c>
      <c r="G11">
        <v>2186</v>
      </c>
      <c r="H11">
        <v>26578</v>
      </c>
      <c r="I11">
        <v>195001</v>
      </c>
      <c r="P11" t="s">
        <v>11</v>
      </c>
      <c r="Q11" t="s">
        <v>3</v>
      </c>
      <c r="R11" t="s">
        <v>4</v>
      </c>
      <c r="S11" t="s">
        <v>5</v>
      </c>
      <c r="T11" t="s">
        <v>6</v>
      </c>
      <c r="U11" t="s">
        <v>7</v>
      </c>
      <c r="V11" t="s">
        <v>8</v>
      </c>
      <c r="W11" t="s">
        <v>9</v>
      </c>
    </row>
    <row r="12" spans="1:23" x14ac:dyDescent="0.2">
      <c r="B12" t="s">
        <v>12</v>
      </c>
      <c r="C12" t="s">
        <v>13</v>
      </c>
      <c r="P12" t="s">
        <v>3</v>
      </c>
      <c r="Q12">
        <v>0.88923300000000005</v>
      </c>
      <c r="R12">
        <v>6.8587999999999996E-2</v>
      </c>
      <c r="S12">
        <v>1.6462999999999998E-2</v>
      </c>
      <c r="T12">
        <v>5.6899999999999995E-4</v>
      </c>
      <c r="U12">
        <v>3.1999999999999999E-5</v>
      </c>
      <c r="V12">
        <v>1.2520000000000001E-3</v>
      </c>
      <c r="W12">
        <v>2.3862999999999999E-2</v>
      </c>
    </row>
    <row r="13" spans="1:23" x14ac:dyDescent="0.2">
      <c r="B13" t="s">
        <v>3</v>
      </c>
      <c r="C13">
        <v>0.88923300000000005</v>
      </c>
      <c r="D13">
        <v>6.8587999999999996E-2</v>
      </c>
      <c r="E13">
        <v>1.6462999999999998E-2</v>
      </c>
      <c r="F13">
        <v>5.6899999999999995E-4</v>
      </c>
      <c r="G13">
        <v>3.1999999999999999E-5</v>
      </c>
      <c r="H13">
        <v>1.2520000000000001E-3</v>
      </c>
      <c r="I13">
        <v>2.3862999999999999E-2</v>
      </c>
      <c r="P13" t="s">
        <v>4</v>
      </c>
      <c r="Q13">
        <v>7.6434000000000002E-2</v>
      </c>
      <c r="R13">
        <v>0.90513999999999994</v>
      </c>
      <c r="S13">
        <v>1.6039999999999999E-2</v>
      </c>
      <c r="T13">
        <v>5.4299999999999997E-4</v>
      </c>
      <c r="U13">
        <v>3.0000000000000001E-5</v>
      </c>
      <c r="V13">
        <v>6.1899999999999998E-4</v>
      </c>
      <c r="W13">
        <v>1.1950000000000001E-3</v>
      </c>
    </row>
    <row r="14" spans="1:23" x14ac:dyDescent="0.2">
      <c r="B14" t="s">
        <v>4</v>
      </c>
      <c r="C14">
        <v>7.6434000000000002E-2</v>
      </c>
      <c r="D14">
        <v>0.90513999999999994</v>
      </c>
      <c r="E14">
        <v>1.6039999999999999E-2</v>
      </c>
      <c r="F14">
        <v>5.4299999999999997E-4</v>
      </c>
      <c r="G14">
        <v>3.0000000000000001E-5</v>
      </c>
      <c r="H14">
        <v>6.1899999999999998E-4</v>
      </c>
      <c r="I14">
        <v>1.1950000000000001E-3</v>
      </c>
      <c r="P14" t="s">
        <v>5</v>
      </c>
      <c r="Q14">
        <v>0.14021600000000001</v>
      </c>
      <c r="R14">
        <v>0.18587100000000001</v>
      </c>
      <c r="S14">
        <v>0.66187600000000002</v>
      </c>
      <c r="T14">
        <v>4.4600000000000004E-3</v>
      </c>
      <c r="U14">
        <v>2.1900000000000001E-4</v>
      </c>
      <c r="V14">
        <v>4.7910000000000001E-3</v>
      </c>
      <c r="W14">
        <v>2.5669999999999998E-3</v>
      </c>
    </row>
    <row r="15" spans="1:23" x14ac:dyDescent="0.2">
      <c r="B15" t="s">
        <v>5</v>
      </c>
      <c r="C15">
        <v>0.14021600000000001</v>
      </c>
      <c r="D15">
        <v>0.18587100000000001</v>
      </c>
      <c r="E15">
        <v>0.66187600000000002</v>
      </c>
      <c r="F15">
        <v>4.4600000000000004E-3</v>
      </c>
      <c r="G15">
        <v>2.1900000000000001E-4</v>
      </c>
      <c r="H15">
        <v>4.7910000000000001E-3</v>
      </c>
      <c r="I15">
        <v>2.5669999999999998E-3</v>
      </c>
      <c r="P15" t="s">
        <v>6</v>
      </c>
      <c r="Q15">
        <v>0.15631900000000001</v>
      </c>
      <c r="R15">
        <v>0.45879599999999998</v>
      </c>
      <c r="S15">
        <v>0.248253</v>
      </c>
      <c r="T15">
        <v>0.11265500000000001</v>
      </c>
      <c r="U15">
        <v>6.3500000000000004E-4</v>
      </c>
      <c r="V15">
        <v>2.0799999999999999E-2</v>
      </c>
      <c r="W15">
        <v>2.5400000000000002E-3</v>
      </c>
    </row>
    <row r="16" spans="1:23" x14ac:dyDescent="0.2">
      <c r="B16" t="s">
        <v>6</v>
      </c>
      <c r="C16">
        <v>0.15631900000000001</v>
      </c>
      <c r="D16">
        <v>0.45879599999999998</v>
      </c>
      <c r="E16">
        <v>0.248253</v>
      </c>
      <c r="F16">
        <v>0.11265500000000001</v>
      </c>
      <c r="G16">
        <v>6.3500000000000004E-4</v>
      </c>
      <c r="H16">
        <v>2.0799999999999999E-2</v>
      </c>
      <c r="I16">
        <v>2.5400000000000002E-3</v>
      </c>
      <c r="P16" t="s">
        <v>7</v>
      </c>
      <c r="Q16">
        <v>0.115271</v>
      </c>
      <c r="R16">
        <v>7.7840000000000001E-3</v>
      </c>
      <c r="S16">
        <v>0.216086</v>
      </c>
      <c r="T16">
        <v>5.189E-3</v>
      </c>
      <c r="U16">
        <v>0.475908</v>
      </c>
      <c r="V16">
        <v>0.17976300000000001</v>
      </c>
      <c r="W16">
        <v>0</v>
      </c>
    </row>
    <row r="17" spans="2:24" x14ac:dyDescent="0.2">
      <c r="B17" t="s">
        <v>7</v>
      </c>
      <c r="C17">
        <v>0.115271</v>
      </c>
      <c r="D17">
        <v>7.7840000000000001E-3</v>
      </c>
      <c r="E17">
        <v>0.216086</v>
      </c>
      <c r="F17">
        <v>5.189E-3</v>
      </c>
      <c r="G17">
        <v>0.475908</v>
      </c>
      <c r="H17">
        <v>0.17976300000000001</v>
      </c>
      <c r="I17">
        <v>0</v>
      </c>
      <c r="K17">
        <v>0.88923321700000002</v>
      </c>
      <c r="P17" t="s">
        <v>8</v>
      </c>
      <c r="Q17">
        <v>0.17296</v>
      </c>
      <c r="R17">
        <v>8.0551999999999999E-2</v>
      </c>
      <c r="S17">
        <v>0.25489200000000001</v>
      </c>
      <c r="T17">
        <v>3.5362999999999999E-2</v>
      </c>
      <c r="U17">
        <v>1.4331999999999999E-2</v>
      </c>
      <c r="V17">
        <v>0.43767800000000001</v>
      </c>
      <c r="W17">
        <v>4.2220000000000001E-3</v>
      </c>
    </row>
    <row r="18" spans="2:24" x14ac:dyDescent="0.2">
      <c r="B18" t="s">
        <v>8</v>
      </c>
      <c r="C18">
        <v>0.17296</v>
      </c>
      <c r="D18">
        <v>8.0551999999999999E-2</v>
      </c>
      <c r="E18">
        <v>0.25489200000000001</v>
      </c>
      <c r="F18">
        <v>3.5362999999999999E-2</v>
      </c>
      <c r="G18">
        <v>1.4331999999999999E-2</v>
      </c>
      <c r="H18">
        <v>0.43767800000000001</v>
      </c>
      <c r="I18">
        <v>4.2220000000000001E-3</v>
      </c>
      <c r="P18" t="s">
        <v>9</v>
      </c>
      <c r="Q18">
        <v>0.17816000000000001</v>
      </c>
      <c r="R18">
        <v>5.3080000000000002E-3</v>
      </c>
      <c r="S18">
        <v>7.4899999999999999E-4</v>
      </c>
      <c r="T18">
        <v>0</v>
      </c>
      <c r="U18">
        <v>0</v>
      </c>
      <c r="V18">
        <v>2.04E-4</v>
      </c>
      <c r="W18">
        <v>0.81557900000000005</v>
      </c>
    </row>
    <row r="19" spans="2:24" x14ac:dyDescent="0.2">
      <c r="B19" t="s">
        <v>9</v>
      </c>
      <c r="C19">
        <v>0.17816000000000001</v>
      </c>
      <c r="D19">
        <v>5.3080000000000002E-3</v>
      </c>
      <c r="E19">
        <v>7.4899999999999999E-4</v>
      </c>
      <c r="F19">
        <v>0</v>
      </c>
      <c r="G19">
        <v>0</v>
      </c>
      <c r="H19">
        <v>2.04E-4</v>
      </c>
      <c r="I19">
        <v>0.81557900000000005</v>
      </c>
    </row>
    <row r="20" spans="2:24" x14ac:dyDescent="0.2">
      <c r="B20" t="s">
        <v>14</v>
      </c>
    </row>
    <row r="21" spans="2:24" x14ac:dyDescent="0.2">
      <c r="B21" t="s">
        <v>15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</row>
    <row r="22" spans="2:24" x14ac:dyDescent="0.2">
      <c r="B22">
        <v>2020</v>
      </c>
      <c r="C22">
        <v>6175317</v>
      </c>
      <c r="D22">
        <v>6515792</v>
      </c>
      <c r="E22">
        <v>651566</v>
      </c>
      <c r="F22">
        <v>12356</v>
      </c>
      <c r="G22">
        <v>2186</v>
      </c>
      <c r="H22">
        <v>26578</v>
      </c>
      <c r="I22">
        <v>195001</v>
      </c>
      <c r="J22">
        <f>SUM(C22:I22)</f>
        <v>13578796</v>
      </c>
    </row>
    <row r="23" spans="2:24" x14ac:dyDescent="0.2">
      <c r="B23">
        <v>2030</v>
      </c>
      <c r="C23">
        <v>6122208</v>
      </c>
      <c r="D23">
        <v>6451226</v>
      </c>
      <c r="E23">
        <v>647891</v>
      </c>
      <c r="F23">
        <v>12300</v>
      </c>
      <c r="G23">
        <v>1965</v>
      </c>
      <c r="H23">
        <v>27206</v>
      </c>
      <c r="I23">
        <v>315999</v>
      </c>
      <c r="J23">
        <v>13578795</v>
      </c>
      <c r="P23" t="s">
        <v>16</v>
      </c>
      <c r="Q23" t="s">
        <v>3</v>
      </c>
      <c r="R23" t="s">
        <v>4</v>
      </c>
      <c r="S23" t="s">
        <v>5</v>
      </c>
      <c r="T23" t="s">
        <v>6</v>
      </c>
      <c r="U23" t="s">
        <v>7</v>
      </c>
      <c r="V23" t="s">
        <v>8</v>
      </c>
      <c r="W23" t="s">
        <v>9</v>
      </c>
    </row>
    <row r="24" spans="2:24" x14ac:dyDescent="0.2">
      <c r="C24">
        <v>0.450865338</v>
      </c>
      <c r="D24">
        <v>0.475095618</v>
      </c>
      <c r="E24">
        <v>4.7713437999999997E-2</v>
      </c>
      <c r="F24">
        <v>9.0582399999999995E-4</v>
      </c>
      <c r="G24">
        <v>1.44711E-4</v>
      </c>
      <c r="H24">
        <v>2.0035650000000001E-3</v>
      </c>
      <c r="I24">
        <v>2.3271505000000001E-2</v>
      </c>
      <c r="P24" t="s">
        <v>3</v>
      </c>
      <c r="Q24">
        <v>0.88488500000000003</v>
      </c>
      <c r="R24">
        <v>6.8252999999999994E-2</v>
      </c>
      <c r="S24">
        <v>1.6383000000000002E-2</v>
      </c>
      <c r="T24">
        <v>5.6599999999999999E-4</v>
      </c>
      <c r="U24">
        <v>3.1999999999999999E-5</v>
      </c>
      <c r="V24">
        <v>1.2459999999999999E-3</v>
      </c>
      <c r="W24">
        <v>2.8636000000000002E-2</v>
      </c>
      <c r="X24">
        <v>1</v>
      </c>
    </row>
    <row r="25" spans="2:24" x14ac:dyDescent="0.2">
      <c r="P25" t="s">
        <v>4</v>
      </c>
      <c r="Q25">
        <v>7.6415999999999998E-2</v>
      </c>
      <c r="R25">
        <v>0.90492300000000003</v>
      </c>
      <c r="S25">
        <v>1.6036000000000002E-2</v>
      </c>
      <c r="T25">
        <v>5.4299999999999997E-4</v>
      </c>
      <c r="U25">
        <v>3.0000000000000001E-5</v>
      </c>
      <c r="V25">
        <v>6.1899999999999998E-4</v>
      </c>
      <c r="W25">
        <v>1.4339999999999999E-3</v>
      </c>
      <c r="X25">
        <v>1</v>
      </c>
    </row>
    <row r="26" spans="2:24" x14ac:dyDescent="0.2">
      <c r="P26" t="s">
        <v>5</v>
      </c>
      <c r="Q26">
        <v>0.14014399999999999</v>
      </c>
      <c r="R26">
        <v>0.185775</v>
      </c>
      <c r="S26">
        <v>0.66153499999999998</v>
      </c>
      <c r="T26">
        <v>4.4580000000000002E-3</v>
      </c>
      <c r="U26">
        <v>2.1900000000000001E-4</v>
      </c>
      <c r="V26">
        <v>4.7889999999999999E-3</v>
      </c>
      <c r="W26">
        <v>3.0799999999999998E-3</v>
      </c>
      <c r="X26">
        <v>1</v>
      </c>
    </row>
    <row r="27" spans="2:24" x14ac:dyDescent="0.2">
      <c r="P27" t="s">
        <v>6</v>
      </c>
      <c r="Q27">
        <v>0.15623999999999999</v>
      </c>
      <c r="R27">
        <v>0.458563</v>
      </c>
      <c r="S27">
        <v>0.24812699999999999</v>
      </c>
      <c r="T27">
        <v>0.112598</v>
      </c>
      <c r="U27">
        <v>6.3500000000000004E-4</v>
      </c>
      <c r="V27">
        <v>2.0788999999999998E-2</v>
      </c>
      <c r="W27">
        <v>3.0479999999999999E-3</v>
      </c>
      <c r="X27">
        <v>1</v>
      </c>
    </row>
    <row r="28" spans="2:24" x14ac:dyDescent="0.2">
      <c r="P28" t="s">
        <v>7</v>
      </c>
      <c r="Q28">
        <v>0.115271</v>
      </c>
      <c r="R28">
        <v>7.7840000000000001E-3</v>
      </c>
      <c r="S28">
        <v>0.216086</v>
      </c>
      <c r="T28">
        <v>5.189E-3</v>
      </c>
      <c r="U28">
        <v>0.475908</v>
      </c>
      <c r="V28">
        <v>0.17976300000000001</v>
      </c>
      <c r="W28">
        <v>0</v>
      </c>
      <c r="X28">
        <v>1</v>
      </c>
    </row>
    <row r="29" spans="2:24" x14ac:dyDescent="0.2">
      <c r="P29" t="s">
        <v>8</v>
      </c>
      <c r="Q29">
        <v>0.172814</v>
      </c>
      <c r="R29">
        <v>8.0484E-2</v>
      </c>
      <c r="S29">
        <v>0.25467600000000001</v>
      </c>
      <c r="T29">
        <v>3.5333000000000003E-2</v>
      </c>
      <c r="U29">
        <v>1.4319999999999999E-2</v>
      </c>
      <c r="V29">
        <v>0.437307</v>
      </c>
      <c r="W29">
        <v>5.0660000000000002E-3</v>
      </c>
      <c r="X29">
        <v>1</v>
      </c>
    </row>
    <row r="30" spans="2:24" x14ac:dyDescent="0.2"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P30" t="s">
        <v>9</v>
      </c>
      <c r="Q30">
        <v>0.17838399999999999</v>
      </c>
      <c r="R30">
        <v>4.2459999999999998E-3</v>
      </c>
      <c r="S30">
        <v>5.9900000000000003E-4</v>
      </c>
      <c r="T30">
        <v>0</v>
      </c>
      <c r="U30">
        <v>0</v>
      </c>
      <c r="V30">
        <v>1.63E-4</v>
      </c>
      <c r="W30">
        <v>0.81660699999999997</v>
      </c>
      <c r="X30">
        <v>1</v>
      </c>
    </row>
    <row r="31" spans="2:24" x14ac:dyDescent="0.2">
      <c r="D31">
        <v>6077739.2659999998</v>
      </c>
      <c r="E31">
        <v>6562273.352</v>
      </c>
      <c r="F31">
        <v>627125.14780000004</v>
      </c>
      <c r="G31">
        <v>13587.724910000001</v>
      </c>
      <c r="H31">
        <v>1957.1780759999999</v>
      </c>
      <c r="I31">
        <v>27018.105159999999</v>
      </c>
      <c r="J31">
        <v>269095.22649999999</v>
      </c>
    </row>
    <row r="32" spans="2:24" x14ac:dyDescent="0.2">
      <c r="D32">
        <v>5469.9653390000003</v>
      </c>
      <c r="E32">
        <v>5906.0460169999997</v>
      </c>
      <c r="F32">
        <v>564.41263300000003</v>
      </c>
      <c r="G32">
        <v>12.228952</v>
      </c>
      <c r="H32">
        <v>1.76146</v>
      </c>
      <c r="I32">
        <v>24.316295</v>
      </c>
      <c r="J32">
        <v>242.18570399999999</v>
      </c>
    </row>
    <row r="33" spans="3:24" x14ac:dyDescent="0.2">
      <c r="P33" t="s">
        <v>17</v>
      </c>
      <c r="Q33" t="s">
        <v>3</v>
      </c>
      <c r="R33" t="s">
        <v>4</v>
      </c>
      <c r="S33" t="s">
        <v>5</v>
      </c>
      <c r="T33" t="s">
        <v>6</v>
      </c>
      <c r="U33" t="s">
        <v>7</v>
      </c>
      <c r="V33" t="s">
        <v>8</v>
      </c>
      <c r="W33" t="s">
        <v>9</v>
      </c>
    </row>
    <row r="34" spans="3:24" x14ac:dyDescent="0.2">
      <c r="P34" t="s">
        <v>3</v>
      </c>
      <c r="Q34">
        <v>0.882691</v>
      </c>
      <c r="R34">
        <v>8.2306000000000004E-2</v>
      </c>
      <c r="S34">
        <v>1.6341999999999999E-2</v>
      </c>
      <c r="T34">
        <v>6.8300000000000001E-4</v>
      </c>
      <c r="U34">
        <v>3.1999999999999999E-5</v>
      </c>
      <c r="V34">
        <v>1.243E-3</v>
      </c>
      <c r="W34">
        <v>1.6704E-2</v>
      </c>
      <c r="X34">
        <v>1</v>
      </c>
    </row>
    <row r="35" spans="3:24" x14ac:dyDescent="0.2">
      <c r="P35" t="s">
        <v>4</v>
      </c>
      <c r="Q35">
        <v>7.6461000000000001E-2</v>
      </c>
      <c r="R35">
        <v>0.90546400000000005</v>
      </c>
      <c r="S35">
        <v>1.6046000000000001E-2</v>
      </c>
      <c r="T35">
        <v>5.4299999999999997E-4</v>
      </c>
      <c r="U35">
        <v>3.0000000000000001E-5</v>
      </c>
      <c r="V35">
        <v>6.1899999999999998E-4</v>
      </c>
      <c r="W35">
        <v>8.3699999999999996E-4</v>
      </c>
      <c r="X35">
        <v>1</v>
      </c>
    </row>
    <row r="36" spans="3:24" x14ac:dyDescent="0.2">
      <c r="P36" t="s">
        <v>5</v>
      </c>
      <c r="Q36">
        <v>0.13369200000000001</v>
      </c>
      <c r="R36">
        <v>0.22304499999999999</v>
      </c>
      <c r="S36">
        <v>0.63107999999999997</v>
      </c>
      <c r="T36">
        <v>5.352E-3</v>
      </c>
      <c r="U36">
        <v>2.0900000000000001E-4</v>
      </c>
      <c r="V36">
        <v>4.568E-3</v>
      </c>
      <c r="W36">
        <v>2.0539999999999998E-3</v>
      </c>
      <c r="X36">
        <v>1</v>
      </c>
    </row>
    <row r="37" spans="3:24" x14ac:dyDescent="0.2"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P37" t="s">
        <v>6</v>
      </c>
      <c r="Q37">
        <v>0.15639900000000001</v>
      </c>
      <c r="R37">
        <v>0.45903100000000002</v>
      </c>
      <c r="S37">
        <v>0.24837999999999999</v>
      </c>
      <c r="T37">
        <v>0.11271299999999999</v>
      </c>
      <c r="U37">
        <v>6.3500000000000004E-4</v>
      </c>
      <c r="V37">
        <v>2.0811E-2</v>
      </c>
      <c r="W37">
        <v>2.032E-3</v>
      </c>
      <c r="X37">
        <v>1</v>
      </c>
    </row>
    <row r="38" spans="3:24" x14ac:dyDescent="0.2">
      <c r="C38">
        <v>2020</v>
      </c>
      <c r="D38">
        <v>5557.7852999999996</v>
      </c>
      <c r="E38">
        <v>5864.2128000000002</v>
      </c>
      <c r="F38">
        <v>586.40940000000001</v>
      </c>
      <c r="G38">
        <v>11.1204</v>
      </c>
      <c r="H38">
        <v>1.9674</v>
      </c>
      <c r="I38">
        <v>23.920200000000001</v>
      </c>
      <c r="J38">
        <v>175.5009</v>
      </c>
      <c r="K38">
        <f>SUM(D38:J38)</f>
        <v>12220.916400000002</v>
      </c>
      <c r="P38" t="s">
        <v>7</v>
      </c>
      <c r="Q38">
        <v>0.11527</v>
      </c>
      <c r="R38">
        <v>7.7840000000000001E-3</v>
      </c>
      <c r="S38">
        <v>0.216086</v>
      </c>
      <c r="T38">
        <v>5.189E-3</v>
      </c>
      <c r="U38">
        <v>0.475908</v>
      </c>
      <c r="V38">
        <v>0.17976300000000001</v>
      </c>
      <c r="W38">
        <v>0</v>
      </c>
      <c r="X38">
        <v>1</v>
      </c>
    </row>
    <row r="39" spans="3:24" x14ac:dyDescent="0.2">
      <c r="C39" t="s">
        <v>18</v>
      </c>
      <c r="D39">
        <v>5509.9871999999996</v>
      </c>
      <c r="E39">
        <v>5806.1034</v>
      </c>
      <c r="F39">
        <v>583.1019</v>
      </c>
      <c r="G39">
        <v>11.07</v>
      </c>
      <c r="H39">
        <v>1.7685</v>
      </c>
      <c r="I39">
        <v>24.485399999999998</v>
      </c>
      <c r="J39">
        <v>284.39909999999998</v>
      </c>
      <c r="K39">
        <v>12220.915499999999</v>
      </c>
      <c r="P39" t="s">
        <v>8</v>
      </c>
      <c r="Q39">
        <v>0.17310700000000001</v>
      </c>
      <c r="R39">
        <v>8.0619999999999997E-2</v>
      </c>
      <c r="S39">
        <v>0.255108</v>
      </c>
      <c r="T39">
        <v>3.5393000000000001E-2</v>
      </c>
      <c r="U39">
        <v>1.4344000000000001E-2</v>
      </c>
      <c r="V39">
        <v>0.43804999999999999</v>
      </c>
      <c r="W39">
        <v>3.3779999999999999E-3</v>
      </c>
      <c r="X39">
        <v>1</v>
      </c>
    </row>
    <row r="40" spans="3:24" x14ac:dyDescent="0.2">
      <c r="C40" t="s">
        <v>19</v>
      </c>
      <c r="D40">
        <v>5485.7062999999998</v>
      </c>
      <c r="E40">
        <v>5802.717302</v>
      </c>
      <c r="F40">
        <v>582.40182500000003</v>
      </c>
      <c r="G40">
        <v>11.051976</v>
      </c>
      <c r="H40">
        <v>1.7671140000000001</v>
      </c>
      <c r="I40">
        <v>24.435414999999999</v>
      </c>
      <c r="J40">
        <v>312.83646900000002</v>
      </c>
      <c r="K40">
        <v>12220.9164</v>
      </c>
      <c r="P40" t="s">
        <v>9</v>
      </c>
      <c r="Q40">
        <v>0.17816000000000001</v>
      </c>
      <c r="R40">
        <v>5.3080000000000002E-3</v>
      </c>
      <c r="S40">
        <v>7.4899999999999999E-4</v>
      </c>
      <c r="T40">
        <v>0</v>
      </c>
      <c r="U40">
        <v>0</v>
      </c>
      <c r="V40">
        <v>2.04E-4</v>
      </c>
      <c r="W40">
        <v>0.81557900000000005</v>
      </c>
      <c r="X40">
        <v>1</v>
      </c>
    </row>
    <row r="41" spans="3:24" x14ac:dyDescent="0.2">
      <c r="C41" t="s">
        <v>20</v>
      </c>
      <c r="D41">
        <v>5469.9653390000003</v>
      </c>
      <c r="E41">
        <v>5906.0460169999997</v>
      </c>
      <c r="F41">
        <v>564.41263300000003</v>
      </c>
      <c r="G41">
        <v>12.228952</v>
      </c>
      <c r="H41">
        <v>1.76146</v>
      </c>
      <c r="I41">
        <v>24.316295</v>
      </c>
      <c r="J41">
        <v>242.18570399999999</v>
      </c>
      <c r="K41">
        <v>12220.9164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I24" sqref="I24"/>
    </sheetView>
  </sheetViews>
  <sheetFormatPr defaultRowHeight="14.25" x14ac:dyDescent="0.2"/>
  <cols>
    <col min="3" max="9" width="9.375" bestFit="1" customWidth="1"/>
  </cols>
  <sheetData>
    <row r="1" spans="1:10" x14ac:dyDescent="0.2">
      <c r="E1">
        <v>2030</v>
      </c>
    </row>
    <row r="2" spans="1:10" x14ac:dyDescent="0.2">
      <c r="B2" t="s">
        <v>0</v>
      </c>
      <c r="C2" t="s">
        <v>1</v>
      </c>
    </row>
    <row r="3" spans="1:10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2">
      <c r="B4" t="s">
        <v>3</v>
      </c>
      <c r="C4">
        <f>C13*$J$4</f>
        <v>5464445.3835450001</v>
      </c>
      <c r="D4">
        <f t="shared" ref="D4:I4" si="0">D13*$J$4</f>
        <v>421483.91120099998</v>
      </c>
      <c r="E4">
        <f t="shared" si="0"/>
        <v>101170.21841100001</v>
      </c>
      <c r="F4">
        <f t="shared" si="0"/>
        <v>3489.0541049999997</v>
      </c>
      <c r="G4">
        <f t="shared" si="0"/>
        <v>197.61014399999999</v>
      </c>
      <c r="H4">
        <f t="shared" si="0"/>
        <v>7694.444982</v>
      </c>
      <c r="I4">
        <f t="shared" si="0"/>
        <v>176836.37761200001</v>
      </c>
      <c r="J4">
        <v>6175317</v>
      </c>
    </row>
    <row r="5" spans="1:10" x14ac:dyDescent="0.2">
      <c r="B5" t="s">
        <v>4</v>
      </c>
      <c r="C5">
        <f>C14*$J$5</f>
        <v>497910.76147199998</v>
      </c>
      <c r="D5">
        <f t="shared" ref="D5:I5" si="1">D14*$J$5</f>
        <v>5896290.0440159999</v>
      </c>
      <c r="E5">
        <f t="shared" si="1"/>
        <v>104487.240512</v>
      </c>
      <c r="F5">
        <f t="shared" si="1"/>
        <v>3531.5592639999995</v>
      </c>
      <c r="G5">
        <f t="shared" si="1"/>
        <v>195.47376</v>
      </c>
      <c r="H5">
        <f t="shared" si="1"/>
        <v>4033.2752479999999</v>
      </c>
      <c r="I5">
        <f t="shared" si="1"/>
        <v>9343.6457279999995</v>
      </c>
      <c r="J5">
        <v>6515792</v>
      </c>
    </row>
    <row r="6" spans="1:10" x14ac:dyDescent="0.2">
      <c r="B6" t="s">
        <v>5</v>
      </c>
      <c r="C6">
        <f>C15*$J$6</f>
        <v>91313.065503999998</v>
      </c>
      <c r="D6">
        <f t="shared" ref="D6:I6" si="2">D15*$J$6</f>
        <v>121044.67365</v>
      </c>
      <c r="E6">
        <f t="shared" si="2"/>
        <v>431033.71380999999</v>
      </c>
      <c r="F6">
        <f t="shared" si="2"/>
        <v>2904.6812279999999</v>
      </c>
      <c r="G6">
        <f t="shared" si="2"/>
        <v>142.69295400000001</v>
      </c>
      <c r="H6">
        <f t="shared" si="2"/>
        <v>3120.3495739999998</v>
      </c>
      <c r="I6">
        <f t="shared" si="2"/>
        <v>2006.8232799999998</v>
      </c>
      <c r="J6">
        <v>651566</v>
      </c>
    </row>
    <row r="7" spans="1:10" x14ac:dyDescent="0.2">
      <c r="A7">
        <v>2020</v>
      </c>
      <c r="B7" t="s">
        <v>6</v>
      </c>
      <c r="C7">
        <f>C17*$J$7</f>
        <v>1424.2884759999999</v>
      </c>
      <c r="D7">
        <f t="shared" ref="D7:I7" si="3">D17*$J$7</f>
        <v>96.179103999999995</v>
      </c>
      <c r="E7">
        <f t="shared" si="3"/>
        <v>2669.9586159999999</v>
      </c>
      <c r="F7">
        <f t="shared" si="3"/>
        <v>64.102928000000006</v>
      </c>
      <c r="G7">
        <f t="shared" si="3"/>
        <v>5880.3192479999998</v>
      </c>
      <c r="H7">
        <f t="shared" si="3"/>
        <v>2221.1516280000001</v>
      </c>
      <c r="I7">
        <f t="shared" si="3"/>
        <v>0</v>
      </c>
      <c r="J7">
        <v>12356</v>
      </c>
    </row>
    <row r="8" spans="1:10" x14ac:dyDescent="0.2">
      <c r="B8" t="s">
        <v>7</v>
      </c>
      <c r="C8">
        <f>C17*$J$8</f>
        <v>251.982406</v>
      </c>
      <c r="D8">
        <f t="shared" ref="D8:I8" si="4">D17*$J$8</f>
        <v>17.015823999999999</v>
      </c>
      <c r="E8">
        <f t="shared" si="4"/>
        <v>472.36399599999999</v>
      </c>
      <c r="F8">
        <f t="shared" si="4"/>
        <v>11.340968</v>
      </c>
      <c r="G8">
        <f t="shared" si="4"/>
        <v>1040.3348880000001</v>
      </c>
      <c r="H8">
        <f t="shared" si="4"/>
        <v>392.96191800000003</v>
      </c>
      <c r="I8">
        <f t="shared" si="4"/>
        <v>0</v>
      </c>
      <c r="J8">
        <v>2186</v>
      </c>
    </row>
    <row r="9" spans="1:10" x14ac:dyDescent="0.2">
      <c r="B9" t="s">
        <v>8</v>
      </c>
      <c r="C9">
        <f>C18*$J$9</f>
        <v>4593.0504920000003</v>
      </c>
      <c r="D9">
        <f t="shared" ref="D9:I9" si="5">D18*$J$9</f>
        <v>2139.103752</v>
      </c>
      <c r="E9">
        <f t="shared" si="5"/>
        <v>6768.7787280000002</v>
      </c>
      <c r="F9">
        <f t="shared" si="5"/>
        <v>939.08047400000009</v>
      </c>
      <c r="G9">
        <f t="shared" si="5"/>
        <v>380.59695999999997</v>
      </c>
      <c r="H9">
        <f t="shared" si="5"/>
        <v>11622.745446000001</v>
      </c>
      <c r="I9">
        <f t="shared" si="5"/>
        <v>134.644148</v>
      </c>
      <c r="J9">
        <v>26578</v>
      </c>
    </row>
    <row r="10" spans="1:10" x14ac:dyDescent="0.2">
      <c r="B10" t="s">
        <v>9</v>
      </c>
      <c r="C10">
        <f>C19*$J$10</f>
        <v>34785.058383999996</v>
      </c>
      <c r="D10">
        <f t="shared" ref="D10:I10" si="6">D19*$J$10</f>
        <v>827.97424599999999</v>
      </c>
      <c r="E10">
        <f t="shared" si="6"/>
        <v>116.805599</v>
      </c>
      <c r="F10">
        <f t="shared" si="6"/>
        <v>0</v>
      </c>
      <c r="G10">
        <f t="shared" si="6"/>
        <v>0</v>
      </c>
      <c r="H10">
        <f t="shared" si="6"/>
        <v>31.785163000000001</v>
      </c>
      <c r="I10">
        <f t="shared" si="6"/>
        <v>159239.37660799999</v>
      </c>
      <c r="J10">
        <v>195001</v>
      </c>
    </row>
    <row r="11" spans="1:10" x14ac:dyDescent="0.2">
      <c r="B11" t="s">
        <v>10</v>
      </c>
      <c r="C11">
        <f>SUM(C4:C10)</f>
        <v>6094723.5902789989</v>
      </c>
      <c r="D11">
        <f t="shared" ref="D11:I11" si="7">SUM(D4:D10)</f>
        <v>6441898.9017930012</v>
      </c>
      <c r="E11">
        <f t="shared" si="7"/>
        <v>646719.07967200002</v>
      </c>
      <c r="F11">
        <f t="shared" si="7"/>
        <v>10939.818966999999</v>
      </c>
      <c r="G11">
        <f t="shared" si="7"/>
        <v>7837.0279540000001</v>
      </c>
      <c r="H11">
        <f t="shared" si="7"/>
        <v>29116.713959000001</v>
      </c>
      <c r="I11">
        <f t="shared" si="7"/>
        <v>347560.86737600004</v>
      </c>
    </row>
    <row r="12" spans="1:10" x14ac:dyDescent="0.2">
      <c r="B12" t="s">
        <v>12</v>
      </c>
      <c r="C12" t="s">
        <v>13</v>
      </c>
    </row>
    <row r="13" spans="1:10" x14ac:dyDescent="0.2">
      <c r="B13" t="s">
        <v>3</v>
      </c>
      <c r="C13" s="1">
        <v>0.88488500000000003</v>
      </c>
      <c r="D13" s="1">
        <v>6.8252999999999994E-2</v>
      </c>
      <c r="E13" s="1">
        <v>1.6383000000000002E-2</v>
      </c>
      <c r="F13" s="1">
        <v>5.6499999999999996E-4</v>
      </c>
      <c r="G13" s="1">
        <v>3.1999999999999999E-5</v>
      </c>
      <c r="H13" s="1">
        <v>1.2459999999999999E-3</v>
      </c>
      <c r="I13" s="1">
        <v>2.8636000000000002E-2</v>
      </c>
      <c r="J13">
        <f>SUM(C13:I13)</f>
        <v>1.0000000000000002</v>
      </c>
    </row>
    <row r="14" spans="1:10" x14ac:dyDescent="0.2">
      <c r="B14" t="s">
        <v>4</v>
      </c>
      <c r="C14" s="1">
        <v>7.6415999999999998E-2</v>
      </c>
      <c r="D14" s="1">
        <v>0.90492300000000003</v>
      </c>
      <c r="E14" s="1">
        <v>1.6036000000000002E-2</v>
      </c>
      <c r="F14" s="1">
        <v>5.4199999999999995E-4</v>
      </c>
      <c r="G14" s="1">
        <v>3.0000000000000001E-5</v>
      </c>
      <c r="H14" s="1">
        <v>6.1899999999999998E-4</v>
      </c>
      <c r="I14" s="1">
        <v>1.4339999999999999E-3</v>
      </c>
      <c r="J14">
        <f t="shared" ref="J14:J19" si="8">SUM(C14:I14)</f>
        <v>1.0000000000000002</v>
      </c>
    </row>
    <row r="15" spans="1:10" x14ac:dyDescent="0.2">
      <c r="B15" t="s">
        <v>5</v>
      </c>
      <c r="C15" s="1">
        <v>0.14014399999999999</v>
      </c>
      <c r="D15" s="1">
        <v>0.185775</v>
      </c>
      <c r="E15" s="1">
        <v>0.66153499999999998</v>
      </c>
      <c r="F15" s="1">
        <v>4.4580000000000002E-3</v>
      </c>
      <c r="G15" s="1">
        <v>2.1900000000000001E-4</v>
      </c>
      <c r="H15" s="1">
        <v>4.7889999999999999E-3</v>
      </c>
      <c r="I15" s="1">
        <v>3.0799999999999998E-3</v>
      </c>
      <c r="J15">
        <f t="shared" si="8"/>
        <v>0.99999999999999989</v>
      </c>
    </row>
    <row r="16" spans="1:10" x14ac:dyDescent="0.2">
      <c r="B16" t="s">
        <v>6</v>
      </c>
      <c r="C16" s="1">
        <v>0.15623999999999999</v>
      </c>
      <c r="D16" s="1">
        <v>0.458563</v>
      </c>
      <c r="E16" s="1">
        <v>0.24812699999999999</v>
      </c>
      <c r="F16" s="1">
        <v>0.112598</v>
      </c>
      <c r="G16" s="1">
        <v>6.3500000000000004E-4</v>
      </c>
      <c r="H16" s="1">
        <v>2.0788999999999998E-2</v>
      </c>
      <c r="I16" s="1">
        <v>3.0479999999999999E-3</v>
      </c>
      <c r="J16">
        <f t="shared" si="8"/>
        <v>1</v>
      </c>
    </row>
    <row r="17" spans="2:10" x14ac:dyDescent="0.2">
      <c r="B17" t="s">
        <v>7</v>
      </c>
      <c r="C17" s="1">
        <v>0.115271</v>
      </c>
      <c r="D17" s="1">
        <v>7.7840000000000001E-3</v>
      </c>
      <c r="E17" s="1">
        <v>0.216086</v>
      </c>
      <c r="F17" s="1">
        <v>5.1879999999999999E-3</v>
      </c>
      <c r="G17" s="1">
        <v>0.475908</v>
      </c>
      <c r="H17" s="1">
        <v>0.17976300000000001</v>
      </c>
      <c r="I17" s="1">
        <v>0</v>
      </c>
      <c r="J17">
        <f t="shared" si="8"/>
        <v>1</v>
      </c>
    </row>
    <row r="18" spans="2:10" x14ac:dyDescent="0.2">
      <c r="B18" t="s">
        <v>8</v>
      </c>
      <c r="C18" s="1">
        <v>0.172814</v>
      </c>
      <c r="D18" s="1">
        <v>8.0484E-2</v>
      </c>
      <c r="E18" s="1">
        <v>0.25467600000000001</v>
      </c>
      <c r="F18" s="1">
        <v>3.5333000000000003E-2</v>
      </c>
      <c r="G18" s="1">
        <v>1.4319999999999999E-2</v>
      </c>
      <c r="H18" s="1">
        <v>0.437307</v>
      </c>
      <c r="I18" s="1">
        <v>5.0660000000000002E-3</v>
      </c>
      <c r="J18">
        <f t="shared" si="8"/>
        <v>1</v>
      </c>
    </row>
    <row r="19" spans="2:10" x14ac:dyDescent="0.2">
      <c r="B19" t="s">
        <v>9</v>
      </c>
      <c r="C19" s="1">
        <v>0.17838399999999999</v>
      </c>
      <c r="D19" s="1">
        <v>4.2459999999999998E-3</v>
      </c>
      <c r="E19" s="1">
        <v>5.9900000000000003E-4</v>
      </c>
      <c r="F19" s="1">
        <v>0</v>
      </c>
      <c r="G19" s="1">
        <v>0</v>
      </c>
      <c r="H19" s="1">
        <v>1.63E-4</v>
      </c>
      <c r="I19" s="1">
        <v>0.816608</v>
      </c>
      <c r="J19">
        <f t="shared" si="8"/>
        <v>1</v>
      </c>
    </row>
    <row r="20" spans="2:10" x14ac:dyDescent="0.2">
      <c r="B20" t="s">
        <v>14</v>
      </c>
    </row>
    <row r="21" spans="2:10" x14ac:dyDescent="0.2">
      <c r="B21" t="s">
        <v>15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</row>
    <row r="22" spans="2:10" x14ac:dyDescent="0.2">
      <c r="B22">
        <v>2020</v>
      </c>
      <c r="C22">
        <v>6175317</v>
      </c>
      <c r="D22">
        <v>6515792</v>
      </c>
      <c r="E22">
        <v>651566</v>
      </c>
      <c r="F22">
        <v>12356</v>
      </c>
      <c r="G22">
        <v>2186</v>
      </c>
      <c r="H22">
        <v>26578</v>
      </c>
      <c r="I22">
        <v>195001</v>
      </c>
      <c r="J22">
        <f>SUM(C22:I22)</f>
        <v>13578796</v>
      </c>
    </row>
    <row r="23" spans="2:10" x14ac:dyDescent="0.2">
      <c r="B23">
        <v>2030</v>
      </c>
      <c r="C23">
        <v>6094723.5902789989</v>
      </c>
      <c r="D23">
        <v>6441898.9017930012</v>
      </c>
      <c r="E23">
        <v>646719.07967200002</v>
      </c>
      <c r="F23">
        <v>10939.818966999999</v>
      </c>
      <c r="G23">
        <v>7837.0279540000001</v>
      </c>
      <c r="H23">
        <v>29116.713959000001</v>
      </c>
      <c r="I23">
        <v>347560.86737600004</v>
      </c>
      <c r="J23">
        <f>SUM(C23:I23)</f>
        <v>13578795.999999998</v>
      </c>
    </row>
    <row r="24" spans="2:10" x14ac:dyDescent="0.2">
      <c r="C24">
        <f>C23/$J$23</f>
        <v>0.44884123675464305</v>
      </c>
      <c r="D24">
        <f t="shared" ref="D24:I24" si="9">D23/$J$23</f>
        <v>0.47440869586618739</v>
      </c>
      <c r="E24">
        <f>E23/$J$23</f>
        <v>4.7627129803850067E-2</v>
      </c>
      <c r="F24">
        <f t="shared" si="9"/>
        <v>8.0565456370358614E-4</v>
      </c>
      <c r="G24">
        <f t="shared" si="9"/>
        <v>5.7715190315842449E-4</v>
      </c>
      <c r="H24">
        <f t="shared" si="9"/>
        <v>2.1442780316458104E-3</v>
      </c>
      <c r="I24">
        <f t="shared" si="9"/>
        <v>2.5595853076811823E-2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I23" sqref="I23"/>
    </sheetView>
  </sheetViews>
  <sheetFormatPr defaultRowHeight="14.25" x14ac:dyDescent="0.2"/>
  <cols>
    <col min="4" max="5" width="9.375" bestFit="1" customWidth="1"/>
  </cols>
  <sheetData>
    <row r="1" spans="1:10" x14ac:dyDescent="0.2">
      <c r="E1">
        <v>2030</v>
      </c>
    </row>
    <row r="2" spans="1:10" x14ac:dyDescent="0.2">
      <c r="B2" t="s">
        <v>0</v>
      </c>
      <c r="C2" t="s">
        <v>1</v>
      </c>
    </row>
    <row r="3" spans="1:10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2">
      <c r="B4" t="s">
        <v>3</v>
      </c>
      <c r="C4">
        <f>C13*$J$4</f>
        <v>5450896.738047</v>
      </c>
      <c r="D4">
        <f t="shared" ref="D4:I4" si="0">D13*$J$4</f>
        <v>508265.64100200002</v>
      </c>
      <c r="E4">
        <f t="shared" si="0"/>
        <v>100910.85509700001</v>
      </c>
      <c r="F4">
        <f t="shared" si="0"/>
        <v>4217.7415110000002</v>
      </c>
      <c r="G4">
        <f t="shared" si="0"/>
        <v>197.61014399999999</v>
      </c>
      <c r="H4">
        <f t="shared" si="0"/>
        <v>7675.9190309999994</v>
      </c>
      <c r="I4">
        <f t="shared" si="0"/>
        <v>103152.49516799999</v>
      </c>
      <c r="J4">
        <v>6175317</v>
      </c>
    </row>
    <row r="5" spans="1:10" x14ac:dyDescent="0.2">
      <c r="B5" t="s">
        <v>4</v>
      </c>
      <c r="C5">
        <f>C14*$J$5</f>
        <v>498203.97211199999</v>
      </c>
      <c r="D5">
        <f t="shared" ref="D5:I5" si="1">D14*$J$5</f>
        <v>5899815.0874880003</v>
      </c>
      <c r="E5">
        <f t="shared" si="1"/>
        <v>104552.398432</v>
      </c>
      <c r="F5">
        <f t="shared" si="1"/>
        <v>3538.0750559999997</v>
      </c>
      <c r="G5">
        <f t="shared" si="1"/>
        <v>195.47376</v>
      </c>
      <c r="H5">
        <f t="shared" si="1"/>
        <v>4033.2752479999999</v>
      </c>
      <c r="I5">
        <f t="shared" si="1"/>
        <v>5453.7179040000001</v>
      </c>
      <c r="J5">
        <v>6515792</v>
      </c>
    </row>
    <row r="6" spans="1:10" x14ac:dyDescent="0.2">
      <c r="B6" t="s">
        <v>5</v>
      </c>
      <c r="C6">
        <f>C15*$J$6</f>
        <v>87109.161672000002</v>
      </c>
      <c r="D6">
        <f t="shared" ref="D6:I6" si="2">D15*$J$6</f>
        <v>145328.53847</v>
      </c>
      <c r="E6">
        <f t="shared" si="2"/>
        <v>411190.27127999999</v>
      </c>
      <c r="F6">
        <f t="shared" si="2"/>
        <v>3487.1812319999999</v>
      </c>
      <c r="G6">
        <f t="shared" si="2"/>
        <v>136.17729400000002</v>
      </c>
      <c r="H6">
        <f t="shared" si="2"/>
        <v>2976.3534880000002</v>
      </c>
      <c r="I6">
        <f t="shared" si="2"/>
        <v>1338.316564</v>
      </c>
      <c r="J6">
        <v>651566</v>
      </c>
    </row>
    <row r="7" spans="1:10" x14ac:dyDescent="0.2">
      <c r="A7">
        <v>2020</v>
      </c>
      <c r="B7" t="s">
        <v>6</v>
      </c>
      <c r="C7">
        <f>C17*$J$7</f>
        <v>1424.27612</v>
      </c>
      <c r="D7">
        <f t="shared" ref="D7:I7" si="3">D17*$J$7</f>
        <v>96.179103999999995</v>
      </c>
      <c r="E7">
        <f t="shared" si="3"/>
        <v>2669.9586159999999</v>
      </c>
      <c r="F7">
        <f t="shared" si="3"/>
        <v>64.115284000000003</v>
      </c>
      <c r="G7">
        <f t="shared" si="3"/>
        <v>5880.3192479999998</v>
      </c>
      <c r="H7">
        <f t="shared" si="3"/>
        <v>2221.1516280000001</v>
      </c>
      <c r="I7">
        <f t="shared" si="3"/>
        <v>0</v>
      </c>
      <c r="J7">
        <v>12356</v>
      </c>
    </row>
    <row r="8" spans="1:10" x14ac:dyDescent="0.2">
      <c r="B8" t="s">
        <v>7</v>
      </c>
      <c r="C8">
        <f>C17*$J$8</f>
        <v>251.98022</v>
      </c>
      <c r="D8">
        <f t="shared" ref="D8:I8" si="4">D17*$J$8</f>
        <v>17.015823999999999</v>
      </c>
      <c r="E8">
        <f t="shared" si="4"/>
        <v>472.36399599999999</v>
      </c>
      <c r="F8">
        <f t="shared" si="4"/>
        <v>11.343154</v>
      </c>
      <c r="G8">
        <f t="shared" si="4"/>
        <v>1040.3348880000001</v>
      </c>
      <c r="H8">
        <f t="shared" si="4"/>
        <v>392.96191800000003</v>
      </c>
      <c r="I8">
        <f t="shared" si="4"/>
        <v>0</v>
      </c>
      <c r="J8">
        <v>2186</v>
      </c>
    </row>
    <row r="9" spans="1:10" x14ac:dyDescent="0.2">
      <c r="B9" t="s">
        <v>8</v>
      </c>
      <c r="C9">
        <f>C18*$J$9</f>
        <v>4600.8378460000004</v>
      </c>
      <c r="D9">
        <f t="shared" ref="D9:I9" si="5">D18*$J$9</f>
        <v>2142.7183599999998</v>
      </c>
      <c r="E9">
        <f t="shared" si="5"/>
        <v>6780.2604240000001</v>
      </c>
      <c r="F9">
        <f t="shared" si="5"/>
        <v>940.67515400000002</v>
      </c>
      <c r="G9">
        <f t="shared" si="5"/>
        <v>381.23483200000004</v>
      </c>
      <c r="H9">
        <f t="shared" si="5"/>
        <v>11642.492899999999</v>
      </c>
      <c r="I9">
        <f t="shared" si="5"/>
        <v>89.780484000000001</v>
      </c>
      <c r="J9">
        <v>26578</v>
      </c>
    </row>
    <row r="10" spans="1:10" x14ac:dyDescent="0.2">
      <c r="B10" t="s">
        <v>9</v>
      </c>
      <c r="C10">
        <f>C19*$J$10</f>
        <v>34741.37816</v>
      </c>
      <c r="D10">
        <f t="shared" ref="D10:I10" si="6">D19*$J$10</f>
        <v>1035.065308</v>
      </c>
      <c r="E10">
        <f t="shared" si="6"/>
        <v>146.05574899999999</v>
      </c>
      <c r="F10">
        <f t="shared" si="6"/>
        <v>0</v>
      </c>
      <c r="G10">
        <f t="shared" si="6"/>
        <v>0</v>
      </c>
      <c r="H10">
        <f t="shared" si="6"/>
        <v>39.780203999999998</v>
      </c>
      <c r="I10">
        <f t="shared" si="6"/>
        <v>159038.72057900002</v>
      </c>
      <c r="J10">
        <v>195001</v>
      </c>
    </row>
    <row r="11" spans="1:10" x14ac:dyDescent="0.2">
      <c r="B11" t="s">
        <v>10</v>
      </c>
      <c r="C11">
        <f>SUM(C4:C10)</f>
        <v>6077228.3441769993</v>
      </c>
      <c r="D11">
        <f t="shared" ref="D11:I11" si="7">SUM(D4:D10)</f>
        <v>6556700.2455560016</v>
      </c>
      <c r="E11">
        <f t="shared" si="7"/>
        <v>626722.16359400004</v>
      </c>
      <c r="F11">
        <f t="shared" si="7"/>
        <v>12259.131391000001</v>
      </c>
      <c r="G11">
        <f t="shared" si="7"/>
        <v>7831.1501660000004</v>
      </c>
      <c r="H11">
        <f t="shared" si="7"/>
        <v>28981.934417</v>
      </c>
      <c r="I11">
        <f t="shared" si="7"/>
        <v>269073.030699</v>
      </c>
    </row>
    <row r="12" spans="1:10" x14ac:dyDescent="0.2">
      <c r="B12" t="s">
        <v>12</v>
      </c>
      <c r="C12" t="s">
        <v>13</v>
      </c>
    </row>
    <row r="13" spans="1:10" x14ac:dyDescent="0.2">
      <c r="B13" t="s">
        <v>3</v>
      </c>
      <c r="C13" s="1">
        <v>0.882691</v>
      </c>
      <c r="D13" s="1">
        <v>8.2306000000000004E-2</v>
      </c>
      <c r="E13" s="1">
        <v>1.6341000000000001E-2</v>
      </c>
      <c r="F13" s="1">
        <v>6.8300000000000001E-4</v>
      </c>
      <c r="G13" s="1">
        <v>3.1999999999999999E-5</v>
      </c>
      <c r="H13" s="1">
        <v>1.243E-3</v>
      </c>
      <c r="I13" s="1">
        <v>1.6704E-2</v>
      </c>
      <c r="J13">
        <f>SUM(C13:I13)</f>
        <v>1</v>
      </c>
    </row>
    <row r="14" spans="1:10" x14ac:dyDescent="0.2">
      <c r="B14" t="s">
        <v>4</v>
      </c>
      <c r="C14" s="1">
        <v>7.6461000000000001E-2</v>
      </c>
      <c r="D14" s="1">
        <v>0.90546400000000005</v>
      </c>
      <c r="E14" s="1">
        <v>1.6046000000000001E-2</v>
      </c>
      <c r="F14" s="1">
        <v>5.4299999999999997E-4</v>
      </c>
      <c r="G14" s="1">
        <v>3.0000000000000001E-5</v>
      </c>
      <c r="H14" s="1">
        <v>6.1899999999999998E-4</v>
      </c>
      <c r="I14" s="1">
        <v>8.3699999999999996E-4</v>
      </c>
      <c r="J14">
        <f t="shared" ref="J14:J19" si="8">SUM(C14:I14)</f>
        <v>1</v>
      </c>
    </row>
    <row r="15" spans="1:10" x14ac:dyDescent="0.2">
      <c r="B15" t="s">
        <v>5</v>
      </c>
      <c r="C15" s="1">
        <v>0.13369200000000001</v>
      </c>
      <c r="D15" s="1">
        <v>0.22304499999999999</v>
      </c>
      <c r="E15" s="1">
        <v>0.63107999999999997</v>
      </c>
      <c r="F15" s="1">
        <v>5.352E-3</v>
      </c>
      <c r="G15" s="1">
        <v>2.0900000000000001E-4</v>
      </c>
      <c r="H15" s="1">
        <v>4.568E-3</v>
      </c>
      <c r="I15" s="1">
        <v>2.0539999999999998E-3</v>
      </c>
      <c r="J15">
        <f t="shared" si="8"/>
        <v>1</v>
      </c>
    </row>
    <row r="16" spans="1:10" x14ac:dyDescent="0.2">
      <c r="B16" t="s">
        <v>6</v>
      </c>
      <c r="C16" s="1">
        <v>0.15639900000000001</v>
      </c>
      <c r="D16" s="1">
        <v>0.45902999999999999</v>
      </c>
      <c r="E16" s="1">
        <v>0.24837999999999999</v>
      </c>
      <c r="F16" s="1">
        <v>0.11271299999999999</v>
      </c>
      <c r="G16" s="1">
        <v>6.3500000000000004E-4</v>
      </c>
      <c r="H16" s="1">
        <v>2.0811E-2</v>
      </c>
      <c r="I16" s="1">
        <v>2.032E-3</v>
      </c>
      <c r="J16">
        <f t="shared" si="8"/>
        <v>1</v>
      </c>
    </row>
    <row r="17" spans="2:10" x14ac:dyDescent="0.2">
      <c r="B17" t="s">
        <v>7</v>
      </c>
      <c r="C17" s="1">
        <v>0.11527</v>
      </c>
      <c r="D17" s="1">
        <v>7.7840000000000001E-3</v>
      </c>
      <c r="E17" s="1">
        <v>0.216086</v>
      </c>
      <c r="F17" s="1">
        <v>5.189E-3</v>
      </c>
      <c r="G17" s="1">
        <v>0.475908</v>
      </c>
      <c r="H17" s="1">
        <v>0.17976300000000001</v>
      </c>
      <c r="I17" s="1">
        <v>0</v>
      </c>
      <c r="J17">
        <f t="shared" si="8"/>
        <v>1</v>
      </c>
    </row>
    <row r="18" spans="2:10" x14ac:dyDescent="0.2">
      <c r="B18" t="s">
        <v>8</v>
      </c>
      <c r="C18" s="1">
        <v>0.17310700000000001</v>
      </c>
      <c r="D18" s="1">
        <v>8.0619999999999997E-2</v>
      </c>
      <c r="E18" s="1">
        <v>0.255108</v>
      </c>
      <c r="F18" s="1">
        <v>3.5393000000000001E-2</v>
      </c>
      <c r="G18" s="1">
        <v>1.4344000000000001E-2</v>
      </c>
      <c r="H18" s="1">
        <v>0.43804999999999999</v>
      </c>
      <c r="I18" s="1">
        <v>3.3779999999999999E-3</v>
      </c>
      <c r="J18">
        <f t="shared" si="8"/>
        <v>1.0000000000000002</v>
      </c>
    </row>
    <row r="19" spans="2:10" x14ac:dyDescent="0.2">
      <c r="B19" t="s">
        <v>9</v>
      </c>
      <c r="C19" s="1">
        <v>0.17816000000000001</v>
      </c>
      <c r="D19" s="1">
        <v>5.3080000000000002E-3</v>
      </c>
      <c r="E19" s="1">
        <v>7.4899999999999999E-4</v>
      </c>
      <c r="F19" s="1">
        <v>0</v>
      </c>
      <c r="G19" s="1">
        <v>0</v>
      </c>
      <c r="H19" s="1">
        <v>2.04E-4</v>
      </c>
      <c r="I19" s="1">
        <v>0.81557900000000005</v>
      </c>
      <c r="J19">
        <f t="shared" si="8"/>
        <v>1</v>
      </c>
    </row>
    <row r="20" spans="2:10" x14ac:dyDescent="0.2">
      <c r="B20" t="s">
        <v>14</v>
      </c>
    </row>
    <row r="21" spans="2:10" x14ac:dyDescent="0.2">
      <c r="B21" t="s">
        <v>15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</row>
    <row r="22" spans="2:10" x14ac:dyDescent="0.2">
      <c r="B22">
        <v>2020</v>
      </c>
      <c r="C22">
        <v>6175317</v>
      </c>
      <c r="D22">
        <v>6515792</v>
      </c>
      <c r="E22">
        <v>651566</v>
      </c>
      <c r="F22">
        <v>12356</v>
      </c>
      <c r="G22">
        <v>2186</v>
      </c>
      <c r="H22">
        <v>26578</v>
      </c>
      <c r="I22">
        <v>195001</v>
      </c>
      <c r="J22">
        <f>SUM(C22:I22)</f>
        <v>13578796</v>
      </c>
    </row>
    <row r="23" spans="2:10" x14ac:dyDescent="0.2">
      <c r="B23">
        <v>2030</v>
      </c>
      <c r="C23">
        <v>6077228.3441769993</v>
      </c>
      <c r="D23">
        <v>6556700.2455560016</v>
      </c>
      <c r="E23">
        <v>626722.16359400004</v>
      </c>
      <c r="F23">
        <v>12259.131391000001</v>
      </c>
      <c r="G23">
        <v>7831.1501660000004</v>
      </c>
      <c r="H23">
        <v>28981.934417</v>
      </c>
      <c r="I23">
        <v>269073.030699</v>
      </c>
      <c r="J23">
        <f>SUM(C23:I23)</f>
        <v>13578796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2030马尔科夫土地需求预测</vt:lpstr>
      <vt:lpstr>城镇扩张</vt:lpstr>
      <vt:lpstr>生态保护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2024-01-07T08:29:20Z</dcterms:created>
  <dcterms:modified xsi:type="dcterms:W3CDTF">2024-01-07T12:35:58Z</dcterms:modified>
</cp:coreProperties>
</file>