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论文数据\research\第五章  数据和图\"/>
    </mc:Choice>
  </mc:AlternateContent>
  <xr:revisionPtr revIDLastSave="0" documentId="13_ncr:1_{A95D76B0-DAF0-4043-A5B6-42C46DD0D5DF}" xr6:coauthVersionLast="47" xr6:coauthVersionMax="47" xr10:uidLastSave="{00000000-0000-0000-0000-000000000000}"/>
  <bookViews>
    <workbookView xWindow="-98" yWindow="-98" windowWidth="21795" windowHeight="12975" xr2:uid="{B733E4DF-6461-488B-807B-92D3932AB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G7" i="1" s="1"/>
  <c r="F8" i="1"/>
  <c r="G8" i="1" s="1"/>
  <c r="F9" i="1"/>
  <c r="F10" i="1"/>
  <c r="G10" i="1" s="1"/>
  <c r="F2" i="1"/>
  <c r="G2" i="1" s="1"/>
  <c r="G5" i="1"/>
  <c r="G6" i="1"/>
  <c r="G4" i="1"/>
  <c r="G3" i="1"/>
  <c r="G9" i="1"/>
</calcChain>
</file>

<file path=xl/sharedStrings.xml><?xml version="1.0" encoding="utf-8"?>
<sst xmlns="http://schemas.openxmlformats.org/spreadsheetml/2006/main" count="7" uniqueCount="7">
  <si>
    <t>t</t>
    <phoneticPr fontId="1" type="noConversion"/>
  </si>
  <si>
    <t>q</t>
    <phoneticPr fontId="1" type="noConversion"/>
  </si>
  <si>
    <t>A</t>
    <phoneticPr fontId="1" type="noConversion"/>
  </si>
  <si>
    <t>C</t>
    <phoneticPr fontId="1" type="noConversion"/>
  </si>
  <si>
    <t>b</t>
    <phoneticPr fontId="1" type="noConversion"/>
  </si>
  <si>
    <t>n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</si>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</sst>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81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281C-E92A-4A36-B021-2B27E6C3CB7D}">
  <dimension ref="A1:W21"/>
  <sheetViews>
    <sheetView tabSelected="1" workbookViewId="0">
      <selection activeCell="O5" sqref="O5:W5"/>
    </sheetView>
  </sheetViews>
  <sheetFormatPr defaultRowHeight="13.9" x14ac:dyDescent="0.4"/>
  <cols>
    <col min="12" max="12" width="9.06640625" style="1"/>
  </cols>
  <sheetData>
    <row r="1" spans="1:23" ht="14.25" thickBot="1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23" ht="15.75" thickBot="1" x14ac:dyDescent="0.45">
      <c r="A2">
        <v>5</v>
      </c>
      <c r="B2" s="2">
        <v>6.0750000000000002</v>
      </c>
      <c r="C2" s="3">
        <v>3.1219999999999999</v>
      </c>
      <c r="D2" s="3">
        <v>7.4279999999999999</v>
      </c>
      <c r="E2" s="3">
        <v>0.63800000000000001</v>
      </c>
      <c r="F2">
        <f>(167*$B$2*(1+$C$2*LOG10(2)))/((A2+$D$2)^$E$2)</f>
        <v>394.27134770427455</v>
      </c>
      <c r="G2" s="1">
        <f>F2/167</f>
        <v>2.3609062736782906</v>
      </c>
    </row>
    <row r="3" spans="1:23" ht="15.75" thickBot="1" x14ac:dyDescent="0.45">
      <c r="A3">
        <v>10</v>
      </c>
      <c r="B3" s="2">
        <v>6.0750000000000002</v>
      </c>
      <c r="C3" s="3">
        <v>3.1219999999999999</v>
      </c>
      <c r="D3" s="3">
        <v>7.4279999999999999</v>
      </c>
      <c r="E3" s="3">
        <v>0.63800000000000001</v>
      </c>
      <c r="F3">
        <f t="shared" ref="F3:F10" si="0">(167*$B$2*(1+$C$2*LOG10(2)))/((A3+$D$2)^$E$2)</f>
        <v>317.76588772890523</v>
      </c>
      <c r="G3" s="1">
        <f t="shared" ref="G3:G10" si="1">F3/167</f>
        <v>1.902789746879672</v>
      </c>
    </row>
    <row r="4" spans="1:23" ht="15.75" thickBot="1" x14ac:dyDescent="0.45">
      <c r="A4">
        <v>15</v>
      </c>
      <c r="B4" s="2">
        <v>6.0750000000000002</v>
      </c>
      <c r="C4" s="3">
        <v>3.1219999999999999</v>
      </c>
      <c r="D4" s="3">
        <v>7.4279999999999999</v>
      </c>
      <c r="E4" s="3">
        <v>0.63800000000000001</v>
      </c>
      <c r="F4">
        <f t="shared" si="0"/>
        <v>270.53212394177746</v>
      </c>
      <c r="G4" s="1">
        <f t="shared" si="1"/>
        <v>1.6199528379747152</v>
      </c>
    </row>
    <row r="5" spans="1:23" ht="15.75" thickBot="1" x14ac:dyDescent="0.45">
      <c r="A5">
        <v>20</v>
      </c>
      <c r="B5" s="2">
        <v>6.0750000000000002</v>
      </c>
      <c r="C5" s="3">
        <v>3.1219999999999999</v>
      </c>
      <c r="D5" s="3">
        <v>7.4279999999999999</v>
      </c>
      <c r="E5" s="3">
        <v>0.63800000000000001</v>
      </c>
      <c r="F5">
        <f t="shared" si="0"/>
        <v>237.93336658868671</v>
      </c>
      <c r="G5" s="1">
        <f t="shared" si="1"/>
        <v>1.4247506981358486</v>
      </c>
      <c r="L5" s="1">
        <v>2.3609062736782906</v>
      </c>
      <c r="O5" s="1">
        <v>2.3609062736782906</v>
      </c>
      <c r="P5" s="1">
        <v>1.902789746879672</v>
      </c>
      <c r="Q5" s="1">
        <v>1.6199528379747152</v>
      </c>
      <c r="R5" s="1">
        <v>1.4247506981358486</v>
      </c>
      <c r="S5" s="1">
        <v>1.1684423679904503</v>
      </c>
      <c r="T5" s="1">
        <v>0.9423784815120485</v>
      </c>
      <c r="U5" s="1">
        <v>0.8026138372929088</v>
      </c>
      <c r="V5" s="1">
        <v>0.63463860094910529</v>
      </c>
      <c r="W5" s="1">
        <v>0.53474625928381547</v>
      </c>
    </row>
    <row r="6" spans="1:23" ht="15.75" thickBot="1" x14ac:dyDescent="0.45">
      <c r="A6">
        <v>30</v>
      </c>
      <c r="B6" s="2">
        <v>6.0750000000000002</v>
      </c>
      <c r="C6" s="3">
        <v>3.1219999999999999</v>
      </c>
      <c r="D6" s="3">
        <v>7.4279999999999999</v>
      </c>
      <c r="E6" s="3">
        <v>0.63800000000000001</v>
      </c>
      <c r="F6">
        <f t="shared" si="0"/>
        <v>195.12987545440521</v>
      </c>
      <c r="G6" s="1">
        <f t="shared" si="1"/>
        <v>1.1684423679904503</v>
      </c>
      <c r="L6" s="1">
        <v>1.902789746879672</v>
      </c>
    </row>
    <row r="7" spans="1:23" ht="15.75" thickBot="1" x14ac:dyDescent="0.45">
      <c r="A7">
        <v>45</v>
      </c>
      <c r="B7" s="2">
        <v>6.0750000000000002</v>
      </c>
      <c r="C7" s="3">
        <v>3.1219999999999999</v>
      </c>
      <c r="D7" s="3">
        <v>7.4279999999999999</v>
      </c>
      <c r="E7" s="3">
        <v>0.63800000000000001</v>
      </c>
      <c r="F7">
        <f t="shared" si="0"/>
        <v>157.37720641251209</v>
      </c>
      <c r="G7" s="1">
        <f t="shared" si="1"/>
        <v>0.9423784815120485</v>
      </c>
      <c r="L7" s="1">
        <v>1.6199528379747152</v>
      </c>
    </row>
    <row r="8" spans="1:23" ht="15.75" thickBot="1" x14ac:dyDescent="0.45">
      <c r="A8">
        <v>60</v>
      </c>
      <c r="B8" s="2">
        <v>6.0750000000000002</v>
      </c>
      <c r="C8" s="3">
        <v>3.1219999999999999</v>
      </c>
      <c r="D8" s="3">
        <v>7.4279999999999999</v>
      </c>
      <c r="E8" s="3">
        <v>0.63800000000000001</v>
      </c>
      <c r="F8">
        <f t="shared" si="0"/>
        <v>134.03651082791578</v>
      </c>
      <c r="G8" s="1">
        <f t="shared" si="1"/>
        <v>0.8026138372929088</v>
      </c>
      <c r="L8" s="1">
        <v>1.4247506981358486</v>
      </c>
    </row>
    <row r="9" spans="1:23" ht="15.75" thickBot="1" x14ac:dyDescent="0.45">
      <c r="A9">
        <v>90</v>
      </c>
      <c r="B9" s="2">
        <v>6.0750000000000002</v>
      </c>
      <c r="C9" s="3">
        <v>3.1219999999999999</v>
      </c>
      <c r="D9" s="3">
        <v>7.4279999999999999</v>
      </c>
      <c r="E9" s="3">
        <v>0.63800000000000001</v>
      </c>
      <c r="F9">
        <f t="shared" si="0"/>
        <v>105.98464635850058</v>
      </c>
      <c r="G9" s="1">
        <f t="shared" si="1"/>
        <v>0.63463860094910529</v>
      </c>
      <c r="L9" s="1">
        <v>1.1684423679904503</v>
      </c>
    </row>
    <row r="10" spans="1:23" ht="15.75" thickBot="1" x14ac:dyDescent="0.45">
      <c r="A10">
        <v>120</v>
      </c>
      <c r="B10" s="2">
        <v>6.0750000000000002</v>
      </c>
      <c r="C10" s="3">
        <v>3.1219999999999999</v>
      </c>
      <c r="D10" s="3">
        <v>7.4279999999999999</v>
      </c>
      <c r="E10" s="3">
        <v>0.63800000000000001</v>
      </c>
      <c r="F10">
        <f t="shared" si="0"/>
        <v>89.302625300397182</v>
      </c>
      <c r="G10" s="1">
        <f t="shared" si="1"/>
        <v>0.53474625928381547</v>
      </c>
      <c r="L10" s="1">
        <v>0.9423784815120485</v>
      </c>
    </row>
    <row r="11" spans="1:23" x14ac:dyDescent="0.4">
      <c r="G11" s="1"/>
      <c r="L11" s="1">
        <v>0.8026138372929088</v>
      </c>
    </row>
    <row r="12" spans="1:23" x14ac:dyDescent="0.4">
      <c r="G12" s="1"/>
      <c r="L12" s="1">
        <v>0.63463860094910529</v>
      </c>
    </row>
    <row r="13" spans="1:23" x14ac:dyDescent="0.4">
      <c r="G13" s="1"/>
      <c r="L13" s="1">
        <v>0.53474625928381547</v>
      </c>
    </row>
    <row r="14" spans="1:23" x14ac:dyDescent="0.4">
      <c r="G14" s="1"/>
    </row>
    <row r="15" spans="1:23" x14ac:dyDescent="0.4">
      <c r="G15" s="1"/>
    </row>
    <row r="16" spans="1:23" x14ac:dyDescent="0.4">
      <c r="G16" s="1"/>
    </row>
    <row r="17" spans="7:7" x14ac:dyDescent="0.4">
      <c r="G17" s="1"/>
    </row>
    <row r="18" spans="7:7" x14ac:dyDescent="0.4">
      <c r="G18" s="1"/>
    </row>
    <row r="19" spans="7:7" x14ac:dyDescent="0.4">
      <c r="G19" s="1"/>
    </row>
    <row r="20" spans="7:7" x14ac:dyDescent="0.4">
      <c r="G20" s="1"/>
    </row>
    <row r="21" spans="7:7" x14ac:dyDescent="0.4">
      <c r="G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2383223083@qq.com</dc:creator>
  <cp:lastModifiedBy>2383223083@qq.com</cp:lastModifiedBy>
  <dcterms:created xsi:type="dcterms:W3CDTF">2024-03-12T04:20:32Z</dcterms:created>
  <dcterms:modified xsi:type="dcterms:W3CDTF">2024-03-12T05:05:44Z</dcterms:modified>
</cp:coreProperties>
</file>